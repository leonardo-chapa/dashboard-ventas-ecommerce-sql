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Ventas mensuales" sheetId="2" state="visible" r:id="rId4"/>
    <sheet name="Categorías" sheetId="3" state="visible" r:id="rId5"/>
    <sheet name="Entregas" sheetId="4" state="visible" r:id="rId6"/>
    <sheet name="Estados" sheetId="5" state="visible" r:id="rId7"/>
    <sheet name="Recompra" sheetId="6" state="visible" r:id="rId8"/>
    <sheet name="Calidad de dato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<sst xmlns="http://schemas.openxmlformats.org/spreadsheetml/2006/main" count="168" uniqueCount="154">
  <si>
    <t xml:space="preserve">Dashboard de ventas · E-commerce Olist (Brasil)</t>
  </si>
  <si>
    <t xml:space="preserve">Pedidos entregados de enero 2017 a agosto 2018 · montos en reales brasileños (BRL)</t>
  </si>
  <si>
    <t xml:space="preserve">Ingreso total</t>
  </si>
  <si>
    <t xml:space="preserve">Pedidos</t>
  </si>
  <si>
    <t xml:space="preserve">Ticket promedio</t>
  </si>
  <si>
    <t xml:space="preserve">Entregas tardías</t>
  </si>
  <si>
    <t xml:space="preserve">Calificación promedio</t>
  </si>
  <si>
    <t xml:space="preserve">Clientes que recompran</t>
  </si>
  <si>
    <t xml:space="preserve">Calculado en SQL</t>
  </si>
  <si>
    <t xml:space="preserve">Hallazgos</t>
  </si>
  <si>
    <t xml:space="preserve">1. Una entrega con más de 7 días de retraso baja la calificación de 4.3 a 1.7.</t>
  </si>
  <si>
    <t xml:space="preserve">2. El 97% de los clientes compra una sola vez: la recompra es la mayor oportunidad.</t>
  </si>
  <si>
    <t xml:space="preserve">3. Las 5 categorías principales generan el 40% del ingreso.</t>
  </si>
  <si>
    <t xml:space="preserve">4. Noviembre 2017 (Black Friday) fue el mes récord: +52% vs. octubre.</t>
  </si>
  <si>
    <t xml:space="preserve">5. São Paulo concentra el 38% del ingreso y entrega en 8.7 días en promedio.</t>
  </si>
  <si>
    <t xml:space="preserve">Fuente: Olist, Brazilian E-Commerce Public Dataset (Kaggle, CC BY-NC-SA 4.0). Pedidos entregados, ene-2017 a ago-2018. Montos en reales brasileños (BRL).</t>
  </si>
  <si>
    <t xml:space="preserve">Análisis: Leonardo Chapa Gallardo · SQL (SQLite) + Python</t>
  </si>
  <si>
    <t xml:space="preserve">Ventas mensuales</t>
  </si>
  <si>
    <t xml:space="preserve">Ticket y crecimiento calculados con fórmulas de Excel.</t>
  </si>
  <si>
    <t xml:space="preserve">Mes</t>
  </si>
  <si>
    <t xml:space="preserve">Ingreso (BRL)</t>
  </si>
  <si>
    <t xml:space="preserve">Ticket promedio (BRL)</t>
  </si>
  <si>
    <t xml:space="preserve">Crecimiento vs. mes anterior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</si>
  <si>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</si>
  <si>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</si>
  <si>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</si>
  <si>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</si>
  <si>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</si>
  <si>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</si>
  <si>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</si>
  <si>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</si>
  <si>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</si>
  <si>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</si>
  <si>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</si>
  <si>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</si>
  <si>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</si>
  <si>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</si>
  <si>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</si>
  <si>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</si>
  <si>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</si>
  <si>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</si>
  <si>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</si>
  <si>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</si>
  <si>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Top 15 categorías por ingreso</t>
  </si>
  <si>
    <t xml:space="preserve">Participación sobre el ingreso TOTAL del periodo (todas las categorías).</t>
  </si>
  <si>
    <t xml:space="preserve">Categoría</t>
  </si>
  <si>
    <t xml:space="preserve">% del ingreso total</t>
  </si>
  <si>
    <t xml:space="preserve">% acumulado</t>
  </si>
  <si>
    <t xml:space="preserve">Salud y belleza</t>
  </si>
  <si>
    <t xml:space="preserve">Relojes y regalos</t>
  </si>
  <si>
    <t xml:space="preserve">Blancos (cama, mesa y baño)</t>
  </si>
  <si>
    <t xml:space="preserve">Deportes y ocio</t>
  </si>
  <si>
    <t xml:space="preserve">Accesorios de cómputo</t>
  </si>
  <si>
    <t xml:space="preserve">Muebles y decoración</t>
  </si>
  <si>
    <t xml:space="preserve">Artículos para el hogar</t>
  </si>
  <si>
    <t xml:space="preserve">Artículos novedosos</t>
  </si>
  <si>
    <t xml:space="preserve">Automotriz</t>
  </si>
  <si>
    <t xml:space="preserve">Herramientas de jardín</t>
  </si>
  <si>
    <t xml:space="preserve">Juguetes</t>
  </si>
  <si>
    <t xml:space="preserve">Bebés</t>
  </si>
  <si>
    <t xml:space="preserve">Perfumería</t>
  </si>
  <si>
    <t xml:space="preserve">Telefonía celular</t>
  </si>
  <si>
    <t xml:space="preserve">Muebles de oficina</t>
  </si>
  <si>
    <t xml:space="preserve">Puntualidad de la entrega vs. calificación del cliente</t>
  </si>
  <si>
    <t xml:space="preserve">Excluye 189 pedidos con fechas inconsistentes y pedidos sin reseña.</t>
  </si>
  <si>
    <t xml:space="preserve">Entrega respecto a la fecha prometida</t>
  </si>
  <si>
    <t xml:space="preserve">Calificación promedio (1-5)</t>
  </si>
  <si>
    <t xml:space="preserve">% con calificación 1 o 2</t>
  </si>
  <si>
    <t xml:space="preserve">7+ días antes</t>
  </si>
  <si>
    <t xml:space="preserve">A tiempo (0-6 días antes)</t>
  </si>
  <si>
    <t xml:space="preserve">1-7 días tarde</t>
  </si>
  <si>
    <t xml:space="preserve">Más de 7 días tarde</t>
  </si>
  <si>
    <t xml:space="preserve">Desempeño por estado del cliente</t>
  </si>
  <si>
    <t xml:space="preserve">Ordenado por ingreso. Excluye pedidos con fechas inconsistentes.</t>
  </si>
  <si>
    <t xml:space="preserve">Estado</t>
  </si>
  <si>
    <t xml:space="preserve">Nombre</t>
  </si>
  <si>
    <t xml:space="preserve">Días de entrega (promedio)</t>
  </si>
  <si>
    <t xml:space="preserve">% entregas tardías</t>
  </si>
  <si>
    <t xml:space="preserve">SP</t>
  </si>
  <si>
    <t xml:space="preserve">São Paulo</t>
  </si>
  <si>
    <t xml:space="preserve">RJ</t>
  </si>
  <si>
    <t xml:space="preserve">Río de Janeiro</t>
  </si>
  <si>
    <t xml:space="preserve">MG</t>
  </si>
  <si>
    <t xml:space="preserve">Minas Gerais</t>
  </si>
  <si>
    <t xml:space="preserve">RS</t>
  </si>
  <si>
    <t xml:space="preserve">Río Grande del Sur</t>
  </si>
  <si>
    <t xml:space="preserve">PR</t>
  </si>
  <si>
    <t xml:space="preserve">Paraná</t>
  </si>
  <si>
    <t xml:space="preserve">SC</t>
  </si>
  <si>
    <t xml:space="preserve">Santa Catarina</t>
  </si>
  <si>
    <t xml:space="preserve">BA</t>
  </si>
  <si>
    <t xml:space="preserve">Bahía</t>
  </si>
  <si>
    <t xml:space="preserve">DF</t>
  </si>
  <si>
    <t xml:space="preserve">Distrito Federal</t>
  </si>
  <si>
    <t xml:space="preserve">GO</t>
  </si>
  <si>
    <t xml:space="preserve">Goiás</t>
  </si>
  <si>
    <t xml:space="preserve">ES</t>
  </si>
  <si>
    <t xml:space="preserve">Espírito Santo</t>
  </si>
  <si>
    <t xml:space="preserve">PE</t>
  </si>
  <si>
    <t xml:space="preserve">Pernambuco</t>
  </si>
  <si>
    <t xml:space="preserve">CE</t>
  </si>
  <si>
    <t xml:space="preserve">Ceará</t>
  </si>
  <si>
    <t xml:space="preserve">PA</t>
  </si>
  <si>
    <t xml:space="preserve">Pará</t>
  </si>
  <si>
    <t xml:space="preserve">MT</t>
  </si>
  <si>
    <t xml:space="preserve">Mato Grosso</t>
  </si>
  <si>
    <t xml:space="preserve">MA</t>
  </si>
  <si>
    <t xml:space="preserve">Maranhão</t>
  </si>
  <si>
    <t xml:space="preserve">MS</t>
  </si>
  <si>
    <t xml:space="preserve">Mato Grosso do Sul</t>
  </si>
  <si>
    <t xml:space="preserve">PB</t>
  </si>
  <si>
    <t xml:space="preserve">Paraíba</t>
  </si>
  <si>
    <t xml:space="preserve">PI</t>
  </si>
  <si>
    <t xml:space="preserve">Piauí</t>
  </si>
  <si>
    <t xml:space="preserve">RN</t>
  </si>
  <si>
    <t xml:space="preserve">Río Grande del Norte</t>
  </si>
  <si>
    <t xml:space="preserve">AL</t>
  </si>
  <si>
    <t xml:space="preserve">Alagoas</t>
  </si>
  <si>
    <t xml:space="preserve">SE</t>
  </si>
  <si>
    <t xml:space="preserve">Sergipe</t>
  </si>
  <si>
    <t xml:space="preserve">TO</t>
  </si>
  <si>
    <t xml:space="preserve">Tocantins</t>
  </si>
  <si>
    <t xml:space="preserve">RO</t>
  </si>
  <si>
    <t xml:space="preserve">Rondônia</t>
  </si>
  <si>
    <t xml:space="preserve">AM</t>
  </si>
  <si>
    <t xml:space="preserve">Amazonas</t>
  </si>
  <si>
    <t xml:space="preserve">AC</t>
  </si>
  <si>
    <t xml:space="preserve">Acre</t>
  </si>
  <si>
    <t xml:space="preserve">AP</t>
  </si>
  <si>
    <t xml:space="preserve">Amapá</t>
  </si>
  <si>
    <t xml:space="preserve">RR</t>
  </si>
  <si>
    <t xml:space="preserve">Roraima</t>
  </si>
  <si>
    <t xml:space="preserve">¿Cuántos clientes vuelven a comprar?</t>
  </si>
  <si>
    <t xml:space="preserve">Clientes identificados con customer_unique_id (no customer_id, que cambia en cada pedido).</t>
  </si>
  <si>
    <t xml:space="preserve">Pedidos por cliente</t>
  </si>
  <si>
    <t xml:space="preserve">Clientes</t>
  </si>
  <si>
    <t xml:space="preserve">Gasto promedio (BRL)</t>
  </si>
  <si>
    <t xml:space="preserve">% de clientes</t>
  </si>
  <si>
    <t xml:space="preserve">1</t>
  </si>
  <si>
    <t xml:space="preserve">2</t>
  </si>
  <si>
    <t xml:space="preserve">3 o más</t>
  </si>
  <si>
    <t xml:space="preserve">Problemas encontrados en los datos crudos</t>
  </si>
  <si>
    <t xml:space="preserve">Ninguna fila se borró en silencio: cada exclusión está marcada en 01_crear_base.sql.</t>
  </si>
  <si>
    <t xml:space="preserve">Concepto</t>
  </si>
  <si>
    <t xml:space="preserve">Registros</t>
  </si>
  <si>
    <t xml:space="preserve">Pedidos en el archivo original</t>
  </si>
  <si>
    <t xml:space="preserve">Pedidos sin artículos (cancelados o no disponibles)</t>
  </si>
  <si>
    <t xml:space="preserve">Pedidos "entregados" sin fecha de entrega</t>
  </si>
  <si>
    <t xml:space="preserve">Pedidos con fechas inconsistentes</t>
  </si>
  <si>
    <t xml:space="preserve">Pedidos con más de una reseña</t>
  </si>
  <si>
    <t xml:space="preserve">Productos sin categoría</t>
  </si>
  <si>
    <t xml:space="preserve">IDs de cliente por pedido (customer_id)</t>
  </si>
  <si>
    <t xml:space="preserve">Clientes reales (customer_unique_id)</t>
  </si>
  <si>
    <t xml:space="preserve">Pedidos analizados (entregados, ene-2017 a ago-2018)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</si>
</sst>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,##0.00"/>
    <numFmt numFmtId="167" formatCode="0.0%"/>
    <numFmt numFmtId="168" formatCode="0.00"/>
    <numFmt numFmtId="169" formatCode="0.0%;\-0.0%;\-"/>
    <numFmt numFmtId="170" formatCode="0.0"/>
    <numFmt numFmtId="171" formatCode="0.0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0"/>
      <charset val="1"/>
    </font>
    <font>
      <sz val="10"/>
      <color rgb="FF52514E"/>
      <name val="Arial"/>
      <family val="0"/>
      <charset val="1"/>
    </font>
    <font>
      <sz val="9"/>
      <color rgb="FF52514E"/>
      <name val="Arial"/>
      <family val="0"/>
      <charset val="1"/>
    </font>
    <font>
      <i val="true"/>
      <sz val="7"/>
      <color rgb="FF52514E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52514E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name val="Arial"/>
      <family val="0"/>
      <charset val="1"/>
    </font>
    <font>
      <i val="true"/>
      <sz val="9"/>
      <color rgb="FF52514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EF"/>
        <bgColor rgb="FFFFFFFF"/>
      </patternFill>
    </fill>
    <fill>
      <patternFill patternType="solid">
        <fgColor rgb="FF1C5CAB"/>
        <bgColor rgb="FF2A78D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ck">
        <color rgb="FF2A78D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2F2EF"/>
      <rgbColor rgb="FFCCFFFF"/>
      <rgbColor rgb="FF660066"/>
      <rgbColor rgb="FFFF8080"/>
      <rgbColor rgb="FF1C5CA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B6834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Ingreso mensual (BRL)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'Ventas mensuales'!C4</c:f>
              <c:strCache>
                <c:ptCount val="1"/>
                <c:pt idx="0">
                  <c:v>Ingreso (BRL)</c:v>
                </c:pt>
              </c:strCache>
            </c:strRef>
          </c:tx>
          <c:spPr>
            <a:solidFill>
              <a:srgbClr val="2a78d6"/>
            </a:solidFill>
            <a:ln w="2808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'Ventas mensuales'!$A$5:$A$24</c:f>
              <c:strCache>
                <c:ptCount val="20"/>
                <c:pt idx="0">
                  <c:v>2017-01</c:v>
                </c:pt>
                <c:pt idx="1">
                  <c:v>2017-02</c:v>
                </c:pt>
                <c:pt idx="2">
                  <c:v>2017-03</c:v>
                </c:pt>
                <c:pt idx="3">
                  <c:v>2017-04</c:v>
                </c:pt>
                <c:pt idx="4">
                  <c:v>2017-05</c:v>
                </c:pt>
                <c:pt idx="5">
                  <c:v>2017-06</c:v>
                </c:pt>
                <c:pt idx="6">
                  <c:v>2017-07</c:v>
                </c:pt>
                <c:pt idx="7">
                  <c:v>2017-08</c:v>
                </c:pt>
                <c:pt idx="8">
                  <c:v>2017-09</c:v>
                </c:pt>
                <c:pt idx="9">
                  <c:v>2017-10</c:v>
                </c:pt>
                <c:pt idx="10">
                  <c:v>2017-11</c:v>
                </c:pt>
                <c:pt idx="11">
                  <c:v>2017-12</c:v>
                </c:pt>
                <c:pt idx="12">
                  <c:v>2018-01</c:v>
                </c:pt>
                <c:pt idx="13">
                  <c:v>2018-02</c:v>
                </c:pt>
                <c:pt idx="14">
                  <c:v>2018-03</c:v>
                </c:pt>
                <c:pt idx="15">
                  <c:v>2018-04</c:v>
                </c:pt>
                <c:pt idx="16">
                  <c:v>2018-05</c:v>
                </c:pt>
                <c:pt idx="17">
                  <c:v>2018-06</c:v>
                </c:pt>
                <c:pt idx="18">
                  <c:v>2018-07</c:v>
                </c:pt>
                <c:pt idx="19">
                  <c:v>2018-08</c:v>
                </c:pt>
              </c:strCache>
            </c:strRef>
          </c:cat>
          <c:val>
            <c:numRef>
              <c:f>'Ventas mensuales'!$C$5:$C$24</c:f>
              <c:numCache>
                <c:formatCode>#,##0</c:formatCode>
                <c:ptCount val="20"/>
                <c:pt idx="0">
                  <c:v>111798.36</c:v>
                </c:pt>
                <c:pt idx="1">
                  <c:v>234223.4</c:v>
                </c:pt>
                <c:pt idx="2">
                  <c:v>359198.85</c:v>
                </c:pt>
                <c:pt idx="3">
                  <c:v>340669.68</c:v>
                </c:pt>
                <c:pt idx="4">
                  <c:v>489159.25</c:v>
                </c:pt>
                <c:pt idx="5">
                  <c:v>421923.37</c:v>
                </c:pt>
                <c:pt idx="6">
                  <c:v>481604.52</c:v>
                </c:pt>
                <c:pt idx="7">
                  <c:v>554699.7</c:v>
                </c:pt>
                <c:pt idx="8">
                  <c:v>607399.67</c:v>
                </c:pt>
                <c:pt idx="9">
                  <c:v>648247.65</c:v>
                </c:pt>
                <c:pt idx="10">
                  <c:v>987648.07</c:v>
                </c:pt>
                <c:pt idx="11">
                  <c:v>726033.19</c:v>
                </c:pt>
                <c:pt idx="12">
                  <c:v>924645</c:v>
                </c:pt>
                <c:pt idx="13">
                  <c:v>826437.13</c:v>
                </c:pt>
                <c:pt idx="14">
                  <c:v>953356.25</c:v>
                </c:pt>
                <c:pt idx="15">
                  <c:v>973534.09</c:v>
                </c:pt>
                <c:pt idx="16">
                  <c:v>977544.69</c:v>
                </c:pt>
                <c:pt idx="17">
                  <c:v>855591.97</c:v>
                </c:pt>
                <c:pt idx="18">
                  <c:v>867486.47</c:v>
                </c:pt>
                <c:pt idx="19">
                  <c:v>838576.64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8959472"/>
        <c:axId val="22838816"/>
      </c:lineChart>
      <c:catAx>
        <c:axId val="8895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838816"/>
        <c:crosses val="autoZero"/>
        <c:auto val="1"/>
        <c:lblAlgn val="ctr"/>
        <c:lblOffset val="100"/>
        <c:noMultiLvlLbl val="0"/>
      </c:catAx>
      <c:valAx>
        <c:axId val="228388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9594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categorías por ingreso (BRL)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Categorías!C4</c:f>
              <c:strCache>
                <c:ptCount val="1"/>
                <c:pt idx="0">
                  <c:v>Ingreso (BRL)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Categorías!$A$5:$A$14</c:f>
              <c:strCache>
                <c:ptCount val="10"/>
                <c:pt idx="0">
                  <c:v>Salud y belleza</c:v>
                </c:pt>
                <c:pt idx="1">
                  <c:v>Relojes y regalos</c:v>
                </c:pt>
                <c:pt idx="2">
                  <c:v>Blancos (cama, mesa y baño)</c:v>
                </c:pt>
                <c:pt idx="3">
                  <c:v>Deportes y ocio</c:v>
                </c:pt>
                <c:pt idx="4">
                  <c:v>Accesorios de cómputo</c:v>
                </c:pt>
                <c:pt idx="5">
                  <c:v>Muebles y decoración</c:v>
                </c:pt>
                <c:pt idx="6">
                  <c:v>Artículos para el hogar</c:v>
                </c:pt>
                <c:pt idx="7">
                  <c:v>Artículos novedosos</c:v>
                </c:pt>
                <c:pt idx="8">
                  <c:v>Automotriz</c:v>
                </c:pt>
                <c:pt idx="9">
                  <c:v>Herramientas de jardín</c:v>
                </c:pt>
              </c:strCache>
            </c:strRef>
          </c:cat>
          <c:val>
            <c:numRef>
              <c:f>Categorías!$C$5:$C$14</c:f>
              <c:numCache>
                <c:formatCode>#,##0</c:formatCode>
                <c:ptCount val="10"/>
                <c:pt idx="0">
                  <c:v>1229557.5</c:v>
                </c:pt>
                <c:pt idx="1">
                  <c:v>1163187.91</c:v>
                </c:pt>
                <c:pt idx="2">
                  <c:v>1022955.77</c:v>
                </c:pt>
                <c:pt idx="3">
                  <c:v>952661.4</c:v>
                </c:pt>
                <c:pt idx="4">
                  <c:v>887944.6</c:v>
                </c:pt>
                <c:pt idx="5">
                  <c:v>706237.17</c:v>
                </c:pt>
                <c:pt idx="6">
                  <c:v>614341.62</c:v>
                </c:pt>
                <c:pt idx="7">
                  <c:v>609158</c:v>
                </c:pt>
                <c:pt idx="8">
                  <c:v>577721.09</c:v>
                </c:pt>
                <c:pt idx="9">
                  <c:v>469135.4</c:v>
                </c:pt>
              </c:numCache>
            </c:numRef>
          </c:val>
        </c:ser>
        <c:gapWidth val="150"/>
        <c:overlap val="0"/>
        <c:axId val="46100676"/>
        <c:axId val="26789582"/>
      </c:barChart>
      <c:catAx>
        <c:axId val="4610067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789582"/>
        <c:crosses val="autoZero"/>
        <c:auto val="1"/>
        <c:lblAlgn val="ctr"/>
        <c:lblOffset val="100"/>
        <c:noMultiLvlLbl val="0"/>
      </c:catAx>
      <c:valAx>
        <c:axId val="267895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1006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Calificación según puntualidad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Entregas!C4</c:f>
              <c:strCache>
                <c:ptCount val="1"/>
                <c:pt idx="0">
                  <c:v>Calificación promedio (1-5)</c:v>
                </c:pt>
              </c:strCache>
            </c:strRef>
          </c:tx>
          <c:spPr>
            <a:solidFill>
              <a:srgbClr val="eb683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Entregas!$A$5:$A$8</c:f>
              <c:strCache>
                <c:ptCount val="4"/>
                <c:pt idx="0">
                  <c:v>7+ días antes</c:v>
                </c:pt>
                <c:pt idx="1">
                  <c:v>A tiempo (0-6 días antes)</c:v>
                </c:pt>
                <c:pt idx="2">
                  <c:v>1-7 días tarde</c:v>
                </c:pt>
                <c:pt idx="3">
                  <c:v>Más de 7 días tarde</c:v>
                </c:pt>
              </c:strCache>
            </c:strRef>
          </c:cat>
          <c:val>
            <c:numRef>
              <c:f>Entregas!$C$5:$C$8</c:f>
              <c:numCache>
                <c:formatCode>0.00</c:formatCode>
                <c:ptCount val="4"/>
                <c:pt idx="0">
                  <c:v>4.3</c:v>
                </c:pt>
                <c:pt idx="1">
                  <c:v>4.15</c:v>
                </c:pt>
                <c:pt idx="2">
                  <c:v>2.7</c:v>
                </c:pt>
                <c:pt idx="3">
                  <c:v>1.69</c:v>
                </c:pt>
              </c:numCache>
            </c:numRef>
          </c:val>
        </c:ser>
        <c:gapWidth val="150"/>
        <c:overlap val="0"/>
        <c:axId val="23019791"/>
        <c:axId val="12623370"/>
      </c:barChart>
      <c:catAx>
        <c:axId val="2301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623370"/>
        <c:crosses val="autoZero"/>
        <c:auto val="1"/>
        <c:lblAlgn val="ctr"/>
        <c:lblOffset val="100"/>
        <c:noMultiLvlLbl val="0"/>
      </c:catAx>
      <c:valAx>
        <c:axId val="12623370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0197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101160</xdr:rowOff>
    </xdr:from>
    <xdr:to>
      <xdr:col>8</xdr:col>
      <xdr:colOff>137160</xdr:colOff>
      <xdr:row>22</xdr:row>
      <xdr:rowOff>133560</xdr:rowOff>
    </xdr:to>
    <xdr:graphicFrame>
      <xdr:nvGraphicFramePr>
        <xdr:cNvPr id="0" name="Chart 1"/>
        <xdr:cNvGraphicFramePr/>
      </xdr:nvGraphicFramePr>
      <xdr:xfrm>
        <a:off x="141120" y="1905120"/>
        <a:ext cx="48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8</xdr:row>
      <xdr:rowOff>101160</xdr:rowOff>
    </xdr:from>
    <xdr:to>
      <xdr:col>17</xdr:col>
      <xdr:colOff>284760</xdr:colOff>
      <xdr:row>22</xdr:row>
      <xdr:rowOff>133560</xdr:rowOff>
    </xdr:to>
    <xdr:graphicFrame>
      <xdr:nvGraphicFramePr>
        <xdr:cNvPr id="1" name="Chart 2"/>
        <xdr:cNvGraphicFramePr/>
      </xdr:nvGraphicFramePr>
      <xdr:xfrm>
        <a:off x="4863600" y="19051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100800</xdr:rowOff>
    </xdr:from>
    <xdr:to>
      <xdr:col>8</xdr:col>
      <xdr:colOff>137160</xdr:colOff>
      <xdr:row>38</xdr:row>
      <xdr:rowOff>133560</xdr:rowOff>
    </xdr:to>
    <xdr:graphicFrame>
      <xdr:nvGraphicFramePr>
        <xdr:cNvPr id="2" name="Chart 3"/>
        <xdr:cNvGraphicFramePr/>
      </xdr:nvGraphicFramePr>
      <xdr:xfrm>
        <a:off x="141120" y="4952880"/>
        <a:ext cx="48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18"/>
    <col collapsed="false" customWidth="true" hidden="false" outlineLevel="0" max="4" min="4" style="0" width="3"/>
    <col collapsed="false" customWidth="true" hidden="false" outlineLevel="0" max="5" min="5" style="0" width="18"/>
    <col collapsed="false" customWidth="true" hidden="false" outlineLevel="0" max="6" min="6" style="0" width="3"/>
    <col collapsed="false" customWidth="true" hidden="false" outlineLevel="0" max="7" min="7" style="0" width="18"/>
    <col collapsed="false" customWidth="true" hidden="false" outlineLevel="0" max="8" min="8" style="0" width="3"/>
    <col collapsed="false" customWidth="true" hidden="false" outlineLevel="0" max="9" min="9" style="0" width="18"/>
    <col collapsed="false" customWidth="true" hidden="false" outlineLevel="0" max="10" min="10" style="0" width="3"/>
    <col collapsed="false" customWidth="true" hidden="false" outlineLevel="0" max="11" min="11" style="0" width="18"/>
    <col collapsed="false" customWidth="true" hidden="false" outlineLevel="0" max="12" min="12" style="0" width="3"/>
    <col collapsed="false" customWidth="true" hidden="false" outlineLevel="0" max="13" min="13" style="0" width="18"/>
    <col collapsed="false" customWidth="true" hidden="false" outlineLevel="0" max="16" min="14" style="0" width="3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15" hidden="false" customHeight="false" outlineLevel="0" collapsed="false">
      <c r="C6" s="3" t="s">
        <v>2</v>
      </c>
      <c r="E6" s="3" t="s">
        <v>3</v>
      </c>
      <c r="G6" s="3" t="s">
        <v>4</v>
      </c>
      <c r="I6" s="3" t="s">
        <v>5</v>
      </c>
      <c r="K6" s="3" t="s">
        <v>6</v>
      </c>
      <c r="M6" s="3" t="s">
        <v>7</v>
      </c>
    </row>
    <row r="7" customFormat="false" ht="30" hidden="false" customHeight="true" outlineLevel="0" collapsed="false">
      <c r="C7" s="4" t="n">
        <f aca="false">SUM('Ventas mensuales'!$C$5:$C$24)</f>
        <v>13179777.95</v>
      </c>
      <c r="E7" s="4" t="n">
        <f aca="false">SUM('Ventas mensuales'!$B$5:$B$24)</f>
        <v>96203</v>
      </c>
      <c r="G7" s="5" t="n">
        <f aca="false">C7/E7</f>
        <v>136.99965645562</v>
      </c>
      <c r="I7" s="6" t="n">
        <v>0.068</v>
      </c>
      <c r="K7" s="7" t="n">
        <v>4.14</v>
      </c>
      <c r="M7" s="6" t="n">
        <f aca="false">1-Recompra!D5</f>
        <v>0.0299583225917333</v>
      </c>
    </row>
    <row r="8" customFormat="false" ht="15" hidden="false" customHeight="false" outlineLevel="0" collapsed="false">
      <c r="C8" s="8"/>
      <c r="E8" s="8"/>
      <c r="G8" s="8"/>
      <c r="I8" s="9" t="s">
        <v>8</v>
      </c>
      <c r="K8" s="9" t="s">
        <v>8</v>
      </c>
      <c r="M8" s="8"/>
    </row>
    <row r="27" customFormat="false" ht="15" hidden="false" customHeight="false" outlineLevel="0" collapsed="false">
      <c r="J27" s="10" t="s">
        <v>9</v>
      </c>
    </row>
    <row r="28" customFormat="false" ht="15" hidden="false" customHeight="false" outlineLevel="0" collapsed="false">
      <c r="J28" s="11" t="s">
        <v>10</v>
      </c>
    </row>
    <row r="30" customFormat="false" ht="15" hidden="false" customHeight="false" outlineLevel="0" collapsed="false">
      <c r="J30" s="11" t="s">
        <v>11</v>
      </c>
    </row>
    <row r="32" customFormat="false" ht="15" hidden="false" customHeight="false" outlineLevel="0" collapsed="false">
      <c r="J32" s="11" t="s">
        <v>12</v>
      </c>
    </row>
    <row r="34" customFormat="false" ht="15" hidden="false" customHeight="false" outlineLevel="0" collapsed="false">
      <c r="J34" s="11" t="s">
        <v>13</v>
      </c>
    </row>
    <row r="36" customFormat="false" ht="15" hidden="false" customHeight="false" outlineLevel="0" collapsed="false">
      <c r="J36" s="11" t="s">
        <v>14</v>
      </c>
    </row>
    <row r="42" customFormat="false" ht="15" hidden="false" customHeight="false" outlineLevel="0" collapsed="false">
      <c r="B42" s="12" t="s">
        <v>15</v>
      </c>
    </row>
    <row r="43" customFormat="false" ht="15" hidden="false" customHeight="false" outlineLevel="0" collapsed="false">
      <c r="B43" s="1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6"/>
    <col collapsed="false" customWidth="true" hidden="false" outlineLevel="0" max="5" min="5" style="0" width="18"/>
  </cols>
  <sheetData>
    <row r="1" customFormat="false" ht="16.15" hidden="false" customHeight="false" outlineLevel="0" collapsed="false">
      <c r="A1" s="13" t="s">
        <v>17</v>
      </c>
    </row>
    <row r="2" customFormat="false" ht="15" hidden="false" customHeight="false" outlineLevel="0" collapsed="false">
      <c r="A2" s="14" t="s">
        <v>18</v>
      </c>
    </row>
    <row r="3" customFormat="false" ht="15" hidden="false" customHeight="false" outlineLevel="0" collapsed="false">
      <c r="A3" s="12" t="s">
        <v>15</v>
      </c>
    </row>
    <row r="4" customFormat="false" ht="31.5" hidden="false" customHeight="true" outlineLevel="0" collapsed="false">
      <c r="A4" s="15" t="s">
        <v>19</v>
      </c>
      <c r="B4" s="15" t="s">
        <v>3</v>
      </c>
      <c r="C4" s="15" t="s">
        <v>20</v>
      </c>
      <c r="D4" s="15" t="s">
        <v>21</v>
      </c>
      <c r="E4" s="15" t="s">
        <v>22</v>
      </c>
    </row>
    <row r="5" customFormat="false" ht="15" hidden="false" customHeight="false" outlineLevel="0" collapsed="false">
      <c r="A5" s="16" t="s">
        <v>23</v>
      </c>
      <c r="B5" s="17" t="n">
        <v>750</v>
      </c>
      <c r="C5" s="17" t="n">
        <v>111798.36</v>
      </c>
      <c r="D5" s="18" t="n">
        <f aca="false">IFERROR(C5/B5,0)</f>
        <v>149.06448</v>
      </c>
      <c r="E5" s="19"/>
    </row>
    <row r="6" customFormat="false" ht="15" hidden="false" customHeight="false" outlineLevel="0" collapsed="false">
      <c r="A6" s="16" t="s">
        <v>24</v>
      </c>
      <c r="B6" s="17" t="n">
        <v>1653</v>
      </c>
      <c r="C6" s="17" t="n">
        <v>234223.4</v>
      </c>
      <c r="D6" s="18" t="n">
        <f aca="false">IFERROR(C6/B6,0)</f>
        <v>141.69594676346</v>
      </c>
      <c r="E6" s="19" t="n">
        <f aca="false">IFERROR(C6/C5-1,0)</f>
        <v>1.09505219933459</v>
      </c>
    </row>
    <row r="7" customFormat="false" ht="15" hidden="false" customHeight="false" outlineLevel="0" collapsed="false">
      <c r="A7" s="16" t="s">
        <v>25</v>
      </c>
      <c r="B7" s="17" t="n">
        <v>2546</v>
      </c>
      <c r="C7" s="17" t="n">
        <v>359198.85</v>
      </c>
      <c r="D7" s="18" t="n">
        <f aca="false">IFERROR(C7/B7,0)</f>
        <v>141.083601728201</v>
      </c>
      <c r="E7" s="19" t="n">
        <f aca="false">IFERROR(C7/C6-1,0)</f>
        <v>0.533573716375051</v>
      </c>
    </row>
    <row r="8" customFormat="false" ht="15" hidden="false" customHeight="false" outlineLevel="0" collapsed="false">
      <c r="A8" s="16" t="s">
        <v>26</v>
      </c>
      <c r="B8" s="17" t="n">
        <v>2303</v>
      </c>
      <c r="C8" s="17" t="n">
        <v>340669.68</v>
      </c>
      <c r="D8" s="18" t="n">
        <f aca="false">IFERROR(C8/B8,0)</f>
        <v>147.924307425098</v>
      </c>
      <c r="E8" s="19" t="n">
        <f aca="false">IFERROR(C8/C7-1,0)</f>
        <v>-0.0515847141492797</v>
      </c>
    </row>
    <row r="9" customFormat="false" ht="15" hidden="false" customHeight="false" outlineLevel="0" collapsed="false">
      <c r="A9" s="16" t="s">
        <v>27</v>
      </c>
      <c r="B9" s="17" t="n">
        <v>3545</v>
      </c>
      <c r="C9" s="17" t="n">
        <v>489159.25</v>
      </c>
      <c r="D9" s="18" t="n">
        <f aca="false">IFERROR(C9/B9,0)</f>
        <v>137.985684062059</v>
      </c>
      <c r="E9" s="19" t="n">
        <f aca="false">IFERROR(C9/C8-1,0)</f>
        <v>0.435875508498438</v>
      </c>
    </row>
    <row r="10" customFormat="false" ht="15" hidden="false" customHeight="false" outlineLevel="0" collapsed="false">
      <c r="A10" s="16" t="s">
        <v>28</v>
      </c>
      <c r="B10" s="17" t="n">
        <v>3135</v>
      </c>
      <c r="C10" s="17" t="n">
        <v>421923.37</v>
      </c>
      <c r="D10" s="18" t="n">
        <f aca="false">IFERROR(C10/B10,0)</f>
        <v>134.584807017544</v>
      </c>
      <c r="E10" s="19" t="n">
        <f aca="false">IFERROR(C10/C9-1,0)</f>
        <v>-0.137451923887773</v>
      </c>
    </row>
    <row r="11" customFormat="false" ht="15" hidden="false" customHeight="false" outlineLevel="0" collapsed="false">
      <c r="A11" s="16" t="s">
        <v>29</v>
      </c>
      <c r="B11" s="17" t="n">
        <v>3872</v>
      </c>
      <c r="C11" s="17" t="n">
        <v>481604.52</v>
      </c>
      <c r="D11" s="18" t="n">
        <f aca="false">IFERROR(C11/B11,0)</f>
        <v>124.381332644628</v>
      </c>
      <c r="E11" s="19" t="n">
        <f aca="false">IFERROR(C11/C10-1,0)</f>
        <v>0.141450211681804</v>
      </c>
    </row>
    <row r="12" customFormat="false" ht="15" hidden="false" customHeight="false" outlineLevel="0" collapsed="false">
      <c r="A12" s="16" t="s">
        <v>30</v>
      </c>
      <c r="B12" s="17" t="n">
        <v>4193</v>
      </c>
      <c r="C12" s="17" t="n">
        <v>554699.7</v>
      </c>
      <c r="D12" s="18" t="n">
        <f aca="false">IFERROR(C12/B12,0)</f>
        <v>132.291843548772</v>
      </c>
      <c r="E12" s="19" t="n">
        <f aca="false">IFERROR(C12/C11-1,0)</f>
        <v>0.151774281520447</v>
      </c>
    </row>
    <row r="13" customFormat="false" ht="15" hidden="false" customHeight="false" outlineLevel="0" collapsed="false">
      <c r="A13" s="16" t="s">
        <v>31</v>
      </c>
      <c r="B13" s="17" t="n">
        <v>4150</v>
      </c>
      <c r="C13" s="17" t="n">
        <v>607399.67</v>
      </c>
      <c r="D13" s="18" t="n">
        <f aca="false">IFERROR(C13/B13,0)</f>
        <v>146.36136626506</v>
      </c>
      <c r="E13" s="19" t="n">
        <f aca="false">IFERROR(C13/C12-1,0)</f>
        <v>0.0950063070162108</v>
      </c>
    </row>
    <row r="14" customFormat="false" ht="15" hidden="false" customHeight="false" outlineLevel="0" collapsed="false">
      <c r="A14" s="16" t="s">
        <v>32</v>
      </c>
      <c r="B14" s="17" t="n">
        <v>4478</v>
      </c>
      <c r="C14" s="17" t="n">
        <v>648247.65</v>
      </c>
      <c r="D14" s="18" t="n">
        <f aca="false">IFERROR(C14/B14,0)</f>
        <v>144.762762393926</v>
      </c>
      <c r="E14" s="19" t="n">
        <f aca="false">IFERROR(C14/C13-1,0)</f>
        <v>0.067250579836502</v>
      </c>
    </row>
    <row r="15" customFormat="false" ht="15" hidden="false" customHeight="false" outlineLevel="0" collapsed="false">
      <c r="A15" s="16" t="s">
        <v>33</v>
      </c>
      <c r="B15" s="17" t="n">
        <v>7288</v>
      </c>
      <c r="C15" s="17" t="n">
        <v>987648.07</v>
      </c>
      <c r="D15" s="18" t="n">
        <f aca="false">IFERROR(C15/B15,0)</f>
        <v>135.517023874863</v>
      </c>
      <c r="E15" s="19" t="n">
        <f aca="false">IFERROR(C15/C14-1,0)</f>
        <v>0.523565985931457</v>
      </c>
    </row>
    <row r="16" customFormat="false" ht="15" hidden="false" customHeight="false" outlineLevel="0" collapsed="false">
      <c r="A16" s="16" t="s">
        <v>34</v>
      </c>
      <c r="B16" s="17" t="n">
        <v>5513</v>
      </c>
      <c r="C16" s="17" t="n">
        <v>726033.19</v>
      </c>
      <c r="D16" s="18" t="n">
        <f aca="false">IFERROR(C16/B16,0)</f>
        <v>131.694756031199</v>
      </c>
      <c r="E16" s="19" t="n">
        <f aca="false">IFERROR(C16/C15-1,0)</f>
        <v>-0.264886742501304</v>
      </c>
    </row>
    <row r="17" customFormat="false" ht="15" hidden="false" customHeight="false" outlineLevel="0" collapsed="false">
      <c r="A17" s="16" t="s">
        <v>35</v>
      </c>
      <c r="B17" s="17" t="n">
        <v>7069</v>
      </c>
      <c r="C17" s="17" t="n">
        <v>924645</v>
      </c>
      <c r="D17" s="18" t="n">
        <f aca="false">IFERROR(C17/B17,0)</f>
        <v>130.802800961947</v>
      </c>
      <c r="E17" s="19" t="n">
        <f aca="false">IFERROR(C17/C16-1,0)</f>
        <v>0.273557480202799</v>
      </c>
    </row>
    <row r="18" customFormat="false" ht="15" hidden="false" customHeight="false" outlineLevel="0" collapsed="false">
      <c r="A18" s="16" t="s">
        <v>36</v>
      </c>
      <c r="B18" s="17" t="n">
        <v>6555</v>
      </c>
      <c r="C18" s="17" t="n">
        <v>826437.13</v>
      </c>
      <c r="D18" s="18" t="n">
        <f aca="false">IFERROR(C18/B18,0)</f>
        <v>126.077365369947</v>
      </c>
      <c r="E18" s="19" t="n">
        <f aca="false">IFERROR(C18/C17-1,0)</f>
        <v>-0.106211432495715</v>
      </c>
    </row>
    <row r="19" customFormat="false" ht="15" hidden="false" customHeight="false" outlineLevel="0" collapsed="false">
      <c r="A19" s="16" t="s">
        <v>37</v>
      </c>
      <c r="B19" s="17" t="n">
        <v>7003</v>
      </c>
      <c r="C19" s="17" t="n">
        <v>953356.25</v>
      </c>
      <c r="D19" s="18" t="n">
        <f aca="false">IFERROR(C19/B19,0)</f>
        <v>136.135406254462</v>
      </c>
      <c r="E19" s="19" t="n">
        <f aca="false">IFERROR(C19/C18-1,0)</f>
        <v>0.15357383567701</v>
      </c>
    </row>
    <row r="20" customFormat="false" ht="15" hidden="false" customHeight="false" outlineLevel="0" collapsed="false">
      <c r="A20" s="16" t="s">
        <v>38</v>
      </c>
      <c r="B20" s="17" t="n">
        <v>6798</v>
      </c>
      <c r="C20" s="17" t="n">
        <v>973534.09</v>
      </c>
      <c r="D20" s="18" t="n">
        <f aca="false">IFERROR(C20/B20,0)</f>
        <v>143.208898205355</v>
      </c>
      <c r="E20" s="19" t="n">
        <f aca="false">IFERROR(C20/C19-1,0)</f>
        <v>0.0211650576581419</v>
      </c>
    </row>
    <row r="21" customFormat="false" ht="15" hidden="false" customHeight="false" outlineLevel="0" collapsed="false">
      <c r="A21" s="16" t="s">
        <v>39</v>
      </c>
      <c r="B21" s="17" t="n">
        <v>6749</v>
      </c>
      <c r="C21" s="17" t="n">
        <v>977544.69</v>
      </c>
      <c r="D21" s="18" t="n">
        <f aca="false">IFERROR(C21/B21,0)</f>
        <v>144.842893762039</v>
      </c>
      <c r="E21" s="19" t="n">
        <f aca="false">IFERROR(C21/C20-1,0)</f>
        <v>0.00411962975020219</v>
      </c>
    </row>
    <row r="22" customFormat="false" ht="15" hidden="false" customHeight="false" outlineLevel="0" collapsed="false">
      <c r="A22" s="16" t="s">
        <v>40</v>
      </c>
      <c r="B22" s="17" t="n">
        <v>6096</v>
      </c>
      <c r="C22" s="17" t="n">
        <v>855591.97</v>
      </c>
      <c r="D22" s="18" t="n">
        <f aca="false">IFERROR(C22/B22,0)</f>
        <v>140.353013451444</v>
      </c>
      <c r="E22" s="19" t="n">
        <f aca="false">IFERROR(C22/C21-1,0)</f>
        <v>-0.124754112264678</v>
      </c>
    </row>
    <row r="23" customFormat="false" ht="15" hidden="false" customHeight="false" outlineLevel="0" collapsed="false">
      <c r="A23" s="16" t="s">
        <v>41</v>
      </c>
      <c r="B23" s="17" t="n">
        <v>6156</v>
      </c>
      <c r="C23" s="17" t="n">
        <v>867486.47</v>
      </c>
      <c r="D23" s="18" t="n">
        <f aca="false">IFERROR(C23/B23,0)</f>
        <v>140.917230344379</v>
      </c>
      <c r="E23" s="19" t="n">
        <f aca="false">IFERROR(C23/C22-1,0)</f>
        <v>0.0139020706330379</v>
      </c>
    </row>
    <row r="24" customFormat="false" ht="15" hidden="false" customHeight="false" outlineLevel="0" collapsed="false">
      <c r="A24" s="16" t="s">
        <v>42</v>
      </c>
      <c r="B24" s="17" t="n">
        <v>6351</v>
      </c>
      <c r="C24" s="17" t="n">
        <v>838576.64</v>
      </c>
      <c r="D24" s="18" t="n">
        <f aca="false">IFERROR(C24/B24,0)</f>
        <v>132.038519918123</v>
      </c>
      <c r="E24" s="19" t="n">
        <f aca="false">IFERROR(C24/C23-1,0)</f>
        <v>-0.033325972219486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5" min="3" style="0" width="16"/>
  </cols>
  <sheetData>
    <row r="1" customFormat="false" ht="16.15" hidden="false" customHeight="false" outlineLevel="0" collapsed="false">
      <c r="A1" s="13" t="s">
        <v>43</v>
      </c>
    </row>
    <row r="2" customFormat="false" ht="15" hidden="false" customHeight="false" outlineLevel="0" collapsed="false">
      <c r="A2" s="14" t="s">
        <v>44</v>
      </c>
    </row>
    <row r="3" customFormat="false" ht="15" hidden="false" customHeight="false" outlineLevel="0" collapsed="false">
      <c r="A3" s="12" t="s">
        <v>15</v>
      </c>
    </row>
    <row r="4" customFormat="false" ht="31.5" hidden="false" customHeight="true" outlineLevel="0" collapsed="false">
      <c r="A4" s="15" t="s">
        <v>45</v>
      </c>
      <c r="B4" s="15" t="s">
        <v>3</v>
      </c>
      <c r="C4" s="15" t="s">
        <v>20</v>
      </c>
      <c r="D4" s="15" t="s">
        <v>46</v>
      </c>
      <c r="E4" s="15" t="s">
        <v>47</v>
      </c>
    </row>
    <row r="5" customFormat="false" ht="15" hidden="false" customHeight="false" outlineLevel="0" collapsed="false">
      <c r="A5" s="16" t="s">
        <v>48</v>
      </c>
      <c r="B5" s="17" t="n">
        <v>8610</v>
      </c>
      <c r="C5" s="17" t="n">
        <v>1229557.5</v>
      </c>
      <c r="D5" s="20" t="n">
        <f aca="false">C5/Dashboard!$C$7</f>
        <v>0.0932912151224824</v>
      </c>
      <c r="E5" s="20" t="n">
        <f aca="false">SUM($C$5:C5)/Dashboard!$C$7</f>
        <v>0.0932912151224824</v>
      </c>
    </row>
    <row r="6" customFormat="false" ht="15" hidden="false" customHeight="false" outlineLevel="0" collapsed="false">
      <c r="A6" s="16" t="s">
        <v>49</v>
      </c>
      <c r="B6" s="17" t="n">
        <v>5489</v>
      </c>
      <c r="C6" s="17" t="n">
        <v>1163187.91</v>
      </c>
      <c r="D6" s="20" t="n">
        <f aca="false">C6/Dashboard!$C$7</f>
        <v>0.0882555013000048</v>
      </c>
      <c r="E6" s="20" t="n">
        <f aca="false">SUM($C$5:C6)/Dashboard!$C$7</f>
        <v>0.181546716422487</v>
      </c>
    </row>
    <row r="7" customFormat="false" ht="15" hidden="false" customHeight="false" outlineLevel="0" collapsed="false">
      <c r="A7" s="16" t="s">
        <v>50</v>
      </c>
      <c r="B7" s="17" t="n">
        <v>9267</v>
      </c>
      <c r="C7" s="17" t="n">
        <v>1022955.77</v>
      </c>
      <c r="D7" s="20" t="n">
        <f aca="false">C7/Dashboard!$C$7</f>
        <v>0.0776155542134911</v>
      </c>
      <c r="E7" s="20" t="n">
        <f aca="false">SUM($C$5:C7)/Dashboard!$C$7</f>
        <v>0.259162270635978</v>
      </c>
    </row>
    <row r="8" customFormat="false" ht="15" hidden="false" customHeight="false" outlineLevel="0" collapsed="false">
      <c r="A8" s="16" t="s">
        <v>51</v>
      </c>
      <c r="B8" s="17" t="n">
        <v>7512</v>
      </c>
      <c r="C8" s="17" t="n">
        <v>952661.4</v>
      </c>
      <c r="D8" s="20" t="n">
        <f aca="false">C8/Dashboard!$C$7</f>
        <v>0.0722820523694787</v>
      </c>
      <c r="E8" s="20" t="n">
        <f aca="false">SUM($C$5:C8)/Dashboard!$C$7</f>
        <v>0.331444323005457</v>
      </c>
    </row>
    <row r="9" customFormat="false" ht="15" hidden="false" customHeight="false" outlineLevel="0" collapsed="false">
      <c r="A9" s="16" t="s">
        <v>52</v>
      </c>
      <c r="B9" s="17" t="n">
        <v>6517</v>
      </c>
      <c r="C9" s="17" t="n">
        <v>887944.6</v>
      </c>
      <c r="D9" s="20" t="n">
        <f aca="false">C9/Dashboard!$C$7</f>
        <v>0.0673717420254413</v>
      </c>
      <c r="E9" s="20" t="n">
        <f aca="false">SUM($C$5:C9)/Dashboard!$C$7</f>
        <v>0.398816065030898</v>
      </c>
    </row>
    <row r="10" customFormat="false" ht="15" hidden="false" customHeight="false" outlineLevel="0" collapsed="false">
      <c r="A10" s="16" t="s">
        <v>53</v>
      </c>
      <c r="B10" s="17" t="n">
        <v>6258</v>
      </c>
      <c r="C10" s="17" t="n">
        <v>706237.17</v>
      </c>
      <c r="D10" s="20" t="n">
        <f aca="false">C10/Dashboard!$C$7</f>
        <v>0.0535849065651368</v>
      </c>
      <c r="E10" s="20" t="n">
        <f aca="false">SUM($C$5:C10)/Dashboard!$C$7</f>
        <v>0.452400971596035</v>
      </c>
    </row>
    <row r="11" customFormat="false" ht="15" hidden="false" customHeight="false" outlineLevel="0" collapsed="false">
      <c r="A11" s="16" t="s">
        <v>54</v>
      </c>
      <c r="B11" s="17" t="n">
        <v>5734</v>
      </c>
      <c r="C11" s="17" t="n">
        <v>614341.62</v>
      </c>
      <c r="D11" s="20" t="n">
        <f aca="false">C11/Dashboard!$C$7</f>
        <v>0.0466124408416152</v>
      </c>
      <c r="E11" s="20" t="n">
        <f aca="false">SUM($C$5:C11)/Dashboard!$C$7</f>
        <v>0.49901341243765</v>
      </c>
    </row>
    <row r="12" customFormat="false" ht="15" hidden="false" customHeight="false" outlineLevel="0" collapsed="false">
      <c r="A12" s="16" t="s">
        <v>55</v>
      </c>
      <c r="B12" s="17" t="n">
        <v>3552</v>
      </c>
      <c r="C12" s="17" t="n">
        <v>609158</v>
      </c>
      <c r="D12" s="20" t="n">
        <f aca="false">C12/Dashboard!$C$7</f>
        <v>0.0462191398300455</v>
      </c>
      <c r="E12" s="20" t="n">
        <f aca="false">SUM($C$5:C12)/Dashboard!$C$7</f>
        <v>0.545232552267696</v>
      </c>
    </row>
    <row r="13" customFormat="false" ht="15" hidden="false" customHeight="false" outlineLevel="0" collapsed="false">
      <c r="A13" s="16" t="s">
        <v>56</v>
      </c>
      <c r="B13" s="17" t="n">
        <v>3801</v>
      </c>
      <c r="C13" s="17" t="n">
        <v>577721.09</v>
      </c>
      <c r="D13" s="20" t="n">
        <f aca="false">C13/Dashboard!$C$7</f>
        <v>0.0438339016174396</v>
      </c>
      <c r="E13" s="20" t="n">
        <f aca="false">SUM($C$5:C13)/Dashboard!$C$7</f>
        <v>0.589066453885136</v>
      </c>
    </row>
    <row r="14" customFormat="false" ht="15" hidden="false" customHeight="false" outlineLevel="0" collapsed="false">
      <c r="A14" s="16" t="s">
        <v>57</v>
      </c>
      <c r="B14" s="17" t="n">
        <v>3443</v>
      </c>
      <c r="C14" s="17" t="n">
        <v>469135.4</v>
      </c>
      <c r="D14" s="20" t="n">
        <f aca="false">C14/Dashboard!$C$7</f>
        <v>0.0355950913421876</v>
      </c>
      <c r="E14" s="20" t="n">
        <f aca="false">SUM($C$5:C14)/Dashboard!$C$7</f>
        <v>0.624661545227323</v>
      </c>
    </row>
    <row r="15" customFormat="false" ht="15" hidden="false" customHeight="false" outlineLevel="0" collapsed="false">
      <c r="A15" s="16" t="s">
        <v>58</v>
      </c>
      <c r="B15" s="17" t="n">
        <v>3781</v>
      </c>
      <c r="C15" s="17" t="n">
        <v>466990.99</v>
      </c>
      <c r="D15" s="20" t="n">
        <f aca="false">C15/Dashboard!$C$7</f>
        <v>0.0354323867800823</v>
      </c>
      <c r="E15" s="20" t="n">
        <f aca="false">SUM($C$5:C15)/Dashboard!$C$7</f>
        <v>0.660093932007405</v>
      </c>
    </row>
    <row r="16" customFormat="false" ht="15" hidden="false" customHeight="false" outlineLevel="0" collapsed="false">
      <c r="A16" s="16" t="s">
        <v>59</v>
      </c>
      <c r="B16" s="17" t="n">
        <v>2800</v>
      </c>
      <c r="C16" s="17" t="n">
        <v>399050.67</v>
      </c>
      <c r="D16" s="20" t="n">
        <f aca="false">C16/Dashboard!$C$7</f>
        <v>0.0302774956842122</v>
      </c>
      <c r="E16" s="20" t="n">
        <f aca="false">SUM($C$5:C16)/Dashboard!$C$7</f>
        <v>0.690371427691618</v>
      </c>
    </row>
    <row r="17" customFormat="false" ht="15" hidden="false" customHeight="false" outlineLevel="0" collapsed="false">
      <c r="A17" s="16" t="s">
        <v>60</v>
      </c>
      <c r="B17" s="17" t="n">
        <v>3060</v>
      </c>
      <c r="C17" s="17" t="n">
        <v>385315.55</v>
      </c>
      <c r="D17" s="20" t="n">
        <f aca="false">C17/Dashboard!$C$7</f>
        <v>0.029235359765678</v>
      </c>
      <c r="E17" s="20" t="n">
        <f aca="false">SUM($C$5:C17)/Dashboard!$C$7</f>
        <v>0.719606787457296</v>
      </c>
    </row>
    <row r="18" customFormat="false" ht="15" hidden="false" customHeight="false" outlineLevel="0" collapsed="false">
      <c r="A18" s="16" t="s">
        <v>61</v>
      </c>
      <c r="B18" s="17" t="n">
        <v>4086</v>
      </c>
      <c r="C18" s="17" t="n">
        <v>309631.94</v>
      </c>
      <c r="D18" s="20" t="n">
        <f aca="false">C18/Dashboard!$C$7</f>
        <v>0.0234929557367846</v>
      </c>
      <c r="E18" s="20" t="n">
        <f aca="false">SUM($C$5:C18)/Dashboard!$C$7</f>
        <v>0.74309974319408</v>
      </c>
    </row>
    <row r="19" customFormat="false" ht="15" hidden="false" customHeight="false" outlineLevel="0" collapsed="false">
      <c r="A19" s="16" t="s">
        <v>62</v>
      </c>
      <c r="B19" s="17" t="n">
        <v>1248</v>
      </c>
      <c r="C19" s="17" t="n">
        <v>266853.43</v>
      </c>
      <c r="D19" s="20" t="n">
        <f aca="false">C19/Dashboard!$C$7</f>
        <v>0.0202471870931634</v>
      </c>
      <c r="E19" s="20" t="n">
        <f aca="false">SUM($C$5:C19)/Dashboard!$C$7</f>
        <v>0.763346930287244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4" min="3" style="0" width="18"/>
  </cols>
  <sheetData>
    <row r="1" customFormat="false" ht="16.15" hidden="false" customHeight="false" outlineLevel="0" collapsed="false">
      <c r="A1" s="13" t="s">
        <v>63</v>
      </c>
    </row>
    <row r="2" customFormat="false" ht="15" hidden="false" customHeight="false" outlineLevel="0" collapsed="false">
      <c r="A2" s="14" t="s">
        <v>64</v>
      </c>
    </row>
    <row r="3" customFormat="false" ht="15" hidden="false" customHeight="false" outlineLevel="0" collapsed="false">
      <c r="A3" s="12" t="s">
        <v>15</v>
      </c>
    </row>
    <row r="4" customFormat="false" ht="31.5" hidden="false" customHeight="true" outlineLevel="0" collapsed="false">
      <c r="A4" s="15" t="s">
        <v>65</v>
      </c>
      <c r="B4" s="15" t="s">
        <v>3</v>
      </c>
      <c r="C4" s="15" t="s">
        <v>66</v>
      </c>
      <c r="D4" s="15" t="s">
        <v>67</v>
      </c>
    </row>
    <row r="5" customFormat="false" ht="15" hidden="false" customHeight="false" outlineLevel="0" collapsed="false">
      <c r="A5" s="16" t="s">
        <v>68</v>
      </c>
      <c r="B5" s="17" t="n">
        <v>75719</v>
      </c>
      <c r="C5" s="21" t="n">
        <v>4.3</v>
      </c>
      <c r="D5" s="20" t="n">
        <v>0.092</v>
      </c>
    </row>
    <row r="6" customFormat="false" ht="15" hidden="false" customHeight="false" outlineLevel="0" collapsed="false">
      <c r="A6" s="16" t="s">
        <v>69</v>
      </c>
      <c r="B6" s="17" t="n">
        <v>13771</v>
      </c>
      <c r="C6" s="21" t="n">
        <v>4.15</v>
      </c>
      <c r="D6" s="20" t="n">
        <v>0.111</v>
      </c>
    </row>
    <row r="7" customFormat="false" ht="15" hidden="false" customHeight="false" outlineLevel="0" collapsed="false">
      <c r="A7" s="16" t="s">
        <v>70</v>
      </c>
      <c r="B7" s="17" t="n">
        <v>3669</v>
      </c>
      <c r="C7" s="21" t="n">
        <v>2.7</v>
      </c>
      <c r="D7" s="20" t="n">
        <v>0.499</v>
      </c>
    </row>
    <row r="8" customFormat="false" ht="15" hidden="false" customHeight="false" outlineLevel="0" collapsed="false">
      <c r="A8" s="16" t="s">
        <v>71</v>
      </c>
      <c r="B8" s="17" t="n">
        <v>2860</v>
      </c>
      <c r="C8" s="21" t="n">
        <v>1.69</v>
      </c>
      <c r="D8" s="20" t="n">
        <v>0.795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7" min="6" style="0" width="14"/>
  </cols>
  <sheetData>
    <row r="1" customFormat="false" ht="16.15" hidden="false" customHeight="false" outlineLevel="0" collapsed="false">
      <c r="A1" s="13" t="s">
        <v>72</v>
      </c>
    </row>
    <row r="2" customFormat="false" ht="15" hidden="false" customHeight="false" outlineLevel="0" collapsed="false">
      <c r="A2" s="14" t="s">
        <v>73</v>
      </c>
    </row>
    <row r="3" customFormat="false" ht="15" hidden="false" customHeight="false" outlineLevel="0" collapsed="false">
      <c r="A3" s="12" t="s">
        <v>15</v>
      </c>
    </row>
    <row r="4" customFormat="false" ht="31.5" hidden="false" customHeight="true" outlineLevel="0" collapsed="false">
      <c r="A4" s="15" t="s">
        <v>74</v>
      </c>
      <c r="B4" s="15" t="s">
        <v>75</v>
      </c>
      <c r="C4" s="15" t="s">
        <v>3</v>
      </c>
      <c r="D4" s="15" t="s">
        <v>20</v>
      </c>
      <c r="E4" s="15" t="s">
        <v>76</v>
      </c>
      <c r="F4" s="15" t="s">
        <v>77</v>
      </c>
      <c r="G4" s="15" t="s">
        <v>6</v>
      </c>
    </row>
    <row r="5" customFormat="false" ht="15" hidden="false" customHeight="false" outlineLevel="0" collapsed="false">
      <c r="A5" s="16" t="s">
        <v>78</v>
      </c>
      <c r="B5" s="16" t="s">
        <v>79</v>
      </c>
      <c r="C5" s="17" t="n">
        <v>40335</v>
      </c>
      <c r="D5" s="17" t="n">
        <v>5047564.76</v>
      </c>
      <c r="E5" s="22" t="n">
        <v>8.7</v>
      </c>
      <c r="F5" s="20" t="n">
        <v>0.045</v>
      </c>
      <c r="G5" s="21" t="n">
        <v>4.24</v>
      </c>
    </row>
    <row r="6" customFormat="false" ht="15" hidden="false" customHeight="false" outlineLevel="0" collapsed="false">
      <c r="A6" s="16" t="s">
        <v>80</v>
      </c>
      <c r="B6" s="16" t="s">
        <v>81</v>
      </c>
      <c r="C6" s="17" t="n">
        <v>12291</v>
      </c>
      <c r="D6" s="17" t="n">
        <v>1749728.16</v>
      </c>
      <c r="E6" s="22" t="n">
        <v>15.3</v>
      </c>
      <c r="F6" s="20" t="n">
        <v>0.122</v>
      </c>
      <c r="G6" s="21" t="n">
        <v>3.95</v>
      </c>
    </row>
    <row r="7" customFormat="false" ht="15" hidden="false" customHeight="false" outlineLevel="0" collapsed="false">
      <c r="A7" s="16" t="s">
        <v>82</v>
      </c>
      <c r="B7" s="16" t="s">
        <v>83</v>
      </c>
      <c r="C7" s="17" t="n">
        <v>11293</v>
      </c>
      <c r="D7" s="17" t="n">
        <v>1544505.85</v>
      </c>
      <c r="E7" s="22" t="n">
        <v>12</v>
      </c>
      <c r="F7" s="20" t="n">
        <v>0.046</v>
      </c>
      <c r="G7" s="21" t="n">
        <v>4.18</v>
      </c>
    </row>
    <row r="8" customFormat="false" ht="15" hidden="false" customHeight="false" outlineLevel="0" collapsed="false">
      <c r="A8" s="16" t="s">
        <v>84</v>
      </c>
      <c r="B8" s="16" t="s">
        <v>85</v>
      </c>
      <c r="C8" s="17" t="n">
        <v>5310</v>
      </c>
      <c r="D8" s="17" t="n">
        <v>724148.18</v>
      </c>
      <c r="E8" s="22" t="n">
        <v>15.3</v>
      </c>
      <c r="F8" s="20" t="n">
        <v>0.061</v>
      </c>
      <c r="G8" s="21" t="n">
        <v>4.18</v>
      </c>
    </row>
    <row r="9" customFormat="false" ht="15" hidden="false" customHeight="false" outlineLevel="0" collapsed="false">
      <c r="A9" s="16" t="s">
        <v>86</v>
      </c>
      <c r="B9" s="16" t="s">
        <v>87</v>
      </c>
      <c r="C9" s="17" t="n">
        <v>4892</v>
      </c>
      <c r="D9" s="17" t="n">
        <v>662296.43</v>
      </c>
      <c r="E9" s="22" t="n">
        <v>12</v>
      </c>
      <c r="F9" s="20" t="n">
        <v>0.041</v>
      </c>
      <c r="G9" s="21" t="n">
        <v>4.23</v>
      </c>
    </row>
    <row r="10" customFormat="false" ht="15" hidden="false" customHeight="false" outlineLevel="0" collapsed="false">
      <c r="A10" s="16" t="s">
        <v>88</v>
      </c>
      <c r="B10" s="16" t="s">
        <v>89</v>
      </c>
      <c r="C10" s="17" t="n">
        <v>3525</v>
      </c>
      <c r="D10" s="17" t="n">
        <v>503172.02</v>
      </c>
      <c r="E10" s="22" t="n">
        <v>15</v>
      </c>
      <c r="F10" s="20" t="n">
        <v>0.083</v>
      </c>
      <c r="G10" s="21" t="n">
        <v>4.12</v>
      </c>
    </row>
    <row r="11" customFormat="false" ht="15" hidden="false" customHeight="false" outlineLevel="0" collapsed="false">
      <c r="A11" s="16" t="s">
        <v>90</v>
      </c>
      <c r="B11" s="16" t="s">
        <v>91</v>
      </c>
      <c r="C11" s="17" t="n">
        <v>3249</v>
      </c>
      <c r="D11" s="17" t="n">
        <v>492698.38</v>
      </c>
      <c r="E11" s="22" t="n">
        <v>19.3</v>
      </c>
      <c r="F11" s="20" t="n">
        <v>0.122</v>
      </c>
      <c r="G11" s="21" t="n">
        <v>3.91</v>
      </c>
    </row>
    <row r="12" customFormat="false" ht="15" hidden="false" customHeight="false" outlineLevel="0" collapsed="false">
      <c r="A12" s="16" t="s">
        <v>92</v>
      </c>
      <c r="B12" s="16" t="s">
        <v>93</v>
      </c>
      <c r="C12" s="17" t="n">
        <v>2071</v>
      </c>
      <c r="D12" s="17" t="n">
        <v>295146.64</v>
      </c>
      <c r="E12" s="22" t="n">
        <v>12.9</v>
      </c>
      <c r="F12" s="20" t="n">
        <v>0.057</v>
      </c>
      <c r="G12" s="21" t="n">
        <v>4.13</v>
      </c>
    </row>
    <row r="13" customFormat="false" ht="15" hidden="false" customHeight="false" outlineLevel="0" collapsed="false">
      <c r="A13" s="16" t="s">
        <v>94</v>
      </c>
      <c r="B13" s="16" t="s">
        <v>95</v>
      </c>
      <c r="C13" s="17" t="n">
        <v>1944</v>
      </c>
      <c r="D13" s="17" t="n">
        <v>281325.43</v>
      </c>
      <c r="E13" s="22" t="n">
        <v>15.6</v>
      </c>
      <c r="F13" s="20" t="n">
        <v>0.066</v>
      </c>
      <c r="G13" s="21" t="n">
        <v>4.09</v>
      </c>
    </row>
    <row r="14" customFormat="false" ht="15" hidden="false" customHeight="false" outlineLevel="0" collapsed="false">
      <c r="A14" s="16" t="s">
        <v>96</v>
      </c>
      <c r="B14" s="16" t="s">
        <v>97</v>
      </c>
      <c r="C14" s="17" t="n">
        <v>1986</v>
      </c>
      <c r="D14" s="17" t="n">
        <v>266378.77</v>
      </c>
      <c r="E14" s="22" t="n">
        <v>15.8</v>
      </c>
      <c r="F14" s="20" t="n">
        <v>0.108</v>
      </c>
      <c r="G14" s="21" t="n">
        <v>4.04</v>
      </c>
    </row>
    <row r="15" customFormat="false" ht="15" hidden="false" customHeight="false" outlineLevel="0" collapsed="false">
      <c r="A15" s="16" t="s">
        <v>98</v>
      </c>
      <c r="B15" s="16" t="s">
        <v>99</v>
      </c>
      <c r="C15" s="17" t="n">
        <v>1586</v>
      </c>
      <c r="D15" s="17" t="n">
        <v>250562.99</v>
      </c>
      <c r="E15" s="22" t="n">
        <v>18.5</v>
      </c>
      <c r="F15" s="20" t="n">
        <v>0.096</v>
      </c>
      <c r="G15" s="21" t="n">
        <v>4.07</v>
      </c>
    </row>
    <row r="16" customFormat="false" ht="15" hidden="false" customHeight="false" outlineLevel="0" collapsed="false">
      <c r="A16" s="16" t="s">
        <v>100</v>
      </c>
      <c r="B16" s="16" t="s">
        <v>101</v>
      </c>
      <c r="C16" s="17" t="n">
        <v>1272</v>
      </c>
      <c r="D16" s="17" t="n">
        <v>218042.71</v>
      </c>
      <c r="E16" s="22" t="n">
        <v>21.2</v>
      </c>
      <c r="F16" s="20" t="n">
        <v>0.138</v>
      </c>
      <c r="G16" s="21" t="n">
        <v>3.93</v>
      </c>
    </row>
    <row r="17" customFormat="false" ht="15" hidden="false" customHeight="false" outlineLevel="0" collapsed="false">
      <c r="A17" s="16" t="s">
        <v>102</v>
      </c>
      <c r="B17" s="16" t="s">
        <v>103</v>
      </c>
      <c r="C17" s="17" t="n">
        <v>941</v>
      </c>
      <c r="D17" s="17" t="n">
        <v>173289.99</v>
      </c>
      <c r="E17" s="22" t="n">
        <v>23.8</v>
      </c>
      <c r="F17" s="20" t="n">
        <v>0.113</v>
      </c>
      <c r="G17" s="21" t="n">
        <v>3.89</v>
      </c>
    </row>
    <row r="18" customFormat="false" ht="15" hidden="false" customHeight="false" outlineLevel="0" collapsed="false">
      <c r="A18" s="16" t="s">
        <v>104</v>
      </c>
      <c r="B18" s="16" t="s">
        <v>105</v>
      </c>
      <c r="C18" s="17" t="n">
        <v>882</v>
      </c>
      <c r="D18" s="17" t="n">
        <v>151798.66</v>
      </c>
      <c r="E18" s="22" t="n">
        <v>18.1</v>
      </c>
      <c r="F18" s="20" t="n">
        <v>0.06</v>
      </c>
      <c r="G18" s="21" t="n">
        <v>4.13</v>
      </c>
    </row>
    <row r="19" customFormat="false" ht="15" hidden="false" customHeight="false" outlineLevel="0" collapsed="false">
      <c r="A19" s="16" t="s">
        <v>106</v>
      </c>
      <c r="B19" s="16" t="s">
        <v>107</v>
      </c>
      <c r="C19" s="17" t="n">
        <v>710</v>
      </c>
      <c r="D19" s="17" t="n">
        <v>116180.54</v>
      </c>
      <c r="E19" s="22" t="n">
        <v>21.6</v>
      </c>
      <c r="F19" s="20" t="n">
        <v>0.176</v>
      </c>
      <c r="G19" s="21" t="n">
        <v>3.82</v>
      </c>
    </row>
    <row r="20" customFormat="false" ht="15" hidden="false" customHeight="false" outlineLevel="0" collapsed="false">
      <c r="A20" s="16" t="s">
        <v>108</v>
      </c>
      <c r="B20" s="16" t="s">
        <v>109</v>
      </c>
      <c r="C20" s="17" t="n">
        <v>699</v>
      </c>
      <c r="D20" s="17" t="n">
        <v>115235.97</v>
      </c>
      <c r="E20" s="22" t="n">
        <v>15.6</v>
      </c>
      <c r="F20" s="20" t="n">
        <v>0.097</v>
      </c>
      <c r="G20" s="21" t="n">
        <v>4.16</v>
      </c>
    </row>
    <row r="21" customFormat="false" ht="15" hidden="false" customHeight="false" outlineLevel="0" collapsed="false">
      <c r="A21" s="16" t="s">
        <v>110</v>
      </c>
      <c r="B21" s="16" t="s">
        <v>111</v>
      </c>
      <c r="C21" s="17" t="n">
        <v>516</v>
      </c>
      <c r="D21" s="17" t="n">
        <v>112536.92</v>
      </c>
      <c r="E21" s="22" t="n">
        <v>20.4</v>
      </c>
      <c r="F21" s="20" t="n">
        <v>0.105</v>
      </c>
      <c r="G21" s="21" t="n">
        <v>4.06</v>
      </c>
    </row>
    <row r="22" customFormat="false" ht="15" hidden="false" customHeight="false" outlineLevel="0" collapsed="false">
      <c r="A22" s="16" t="s">
        <v>112</v>
      </c>
      <c r="B22" s="16" t="s">
        <v>113</v>
      </c>
      <c r="C22" s="17" t="n">
        <v>472</v>
      </c>
      <c r="D22" s="17" t="n">
        <v>84238.1</v>
      </c>
      <c r="E22" s="22" t="n">
        <v>19.5</v>
      </c>
      <c r="F22" s="20" t="n">
        <v>0.14</v>
      </c>
      <c r="G22" s="21" t="n">
        <v>3.98</v>
      </c>
    </row>
    <row r="23" customFormat="false" ht="15" hidden="false" customHeight="false" outlineLevel="0" collapsed="false">
      <c r="A23" s="16" t="s">
        <v>114</v>
      </c>
      <c r="B23" s="16" t="s">
        <v>115</v>
      </c>
      <c r="C23" s="17" t="n">
        <v>470</v>
      </c>
      <c r="D23" s="17" t="n">
        <v>81376.97</v>
      </c>
      <c r="E23" s="22" t="n">
        <v>19.2</v>
      </c>
      <c r="F23" s="20" t="n">
        <v>0.094</v>
      </c>
      <c r="G23" s="21" t="n">
        <v>4.12</v>
      </c>
    </row>
    <row r="24" customFormat="false" ht="15" hidden="false" customHeight="false" outlineLevel="0" collapsed="false">
      <c r="A24" s="16" t="s">
        <v>116</v>
      </c>
      <c r="B24" s="16" t="s">
        <v>117</v>
      </c>
      <c r="C24" s="17" t="n">
        <v>396</v>
      </c>
      <c r="D24" s="17" t="n">
        <v>78805.73</v>
      </c>
      <c r="E24" s="22" t="n">
        <v>24.5</v>
      </c>
      <c r="F24" s="20" t="n">
        <v>0.215</v>
      </c>
      <c r="G24" s="21" t="n">
        <v>3.83</v>
      </c>
    </row>
    <row r="25" customFormat="false" ht="15" hidden="false" customHeight="false" outlineLevel="0" collapsed="false">
      <c r="A25" s="16" t="s">
        <v>118</v>
      </c>
      <c r="B25" s="16" t="s">
        <v>119</v>
      </c>
      <c r="C25" s="17" t="n">
        <v>331</v>
      </c>
      <c r="D25" s="17" t="n">
        <v>56210.74</v>
      </c>
      <c r="E25" s="22" t="n">
        <v>21.5</v>
      </c>
      <c r="F25" s="20" t="n">
        <v>0.154</v>
      </c>
      <c r="G25" s="21" t="n">
        <v>3.89</v>
      </c>
    </row>
    <row r="26" customFormat="false" ht="15" hidden="false" customHeight="false" outlineLevel="0" collapsed="false">
      <c r="A26" s="16" t="s">
        <v>120</v>
      </c>
      <c r="B26" s="16" t="s">
        <v>121</v>
      </c>
      <c r="C26" s="17" t="n">
        <v>273</v>
      </c>
      <c r="D26" s="17" t="n">
        <v>48222.61</v>
      </c>
      <c r="E26" s="22" t="n">
        <v>17.7</v>
      </c>
      <c r="F26" s="20" t="n">
        <v>0.099</v>
      </c>
      <c r="G26" s="21" t="n">
        <v>4.15</v>
      </c>
    </row>
    <row r="27" customFormat="false" ht="15" hidden="false" customHeight="false" outlineLevel="0" collapsed="false">
      <c r="A27" s="16" t="s">
        <v>122</v>
      </c>
      <c r="B27" s="16" t="s">
        <v>123</v>
      </c>
      <c r="C27" s="17" t="n">
        <v>243</v>
      </c>
      <c r="D27" s="17" t="n">
        <v>45682.76</v>
      </c>
      <c r="E27" s="22" t="n">
        <v>19.4</v>
      </c>
      <c r="F27" s="20" t="n">
        <v>0.029</v>
      </c>
      <c r="G27" s="21" t="n">
        <v>4.17</v>
      </c>
    </row>
    <row r="28" customFormat="false" ht="15" hidden="false" customHeight="false" outlineLevel="0" collapsed="false">
      <c r="A28" s="16" t="s">
        <v>124</v>
      </c>
      <c r="B28" s="16" t="s">
        <v>125</v>
      </c>
      <c r="C28" s="17" t="n">
        <v>145</v>
      </c>
      <c r="D28" s="17" t="n">
        <v>22155.84</v>
      </c>
      <c r="E28" s="22" t="n">
        <v>26.4</v>
      </c>
      <c r="F28" s="20" t="n">
        <v>0.028</v>
      </c>
      <c r="G28" s="21" t="n">
        <v>4.23</v>
      </c>
    </row>
    <row r="29" customFormat="false" ht="15" hidden="false" customHeight="false" outlineLevel="0" collapsed="false">
      <c r="A29" s="16" t="s">
        <v>126</v>
      </c>
      <c r="B29" s="16" t="s">
        <v>127</v>
      </c>
      <c r="C29" s="17" t="n">
        <v>80</v>
      </c>
      <c r="D29" s="17" t="n">
        <v>15930.97</v>
      </c>
      <c r="E29" s="22" t="n">
        <v>21</v>
      </c>
      <c r="F29" s="20" t="n">
        <v>0.038</v>
      </c>
      <c r="G29" s="21" t="n">
        <v>4.09</v>
      </c>
    </row>
    <row r="30" customFormat="false" ht="15" hidden="false" customHeight="false" outlineLevel="0" collapsed="false">
      <c r="A30" s="16" t="s">
        <v>128</v>
      </c>
      <c r="B30" s="16" t="s">
        <v>129</v>
      </c>
      <c r="C30" s="17" t="n">
        <v>67</v>
      </c>
      <c r="D30" s="17" t="n">
        <v>13374.81</v>
      </c>
      <c r="E30" s="22" t="n">
        <v>27.2</v>
      </c>
      <c r="F30" s="20" t="n">
        <v>0.03</v>
      </c>
      <c r="G30" s="21" t="n">
        <v>4.22</v>
      </c>
    </row>
    <row r="31" customFormat="false" ht="15" hidden="false" customHeight="false" outlineLevel="0" collapsed="false">
      <c r="A31" s="16" t="s">
        <v>130</v>
      </c>
      <c r="B31" s="16" t="s">
        <v>131</v>
      </c>
      <c r="C31" s="17" t="n">
        <v>40</v>
      </c>
      <c r="D31" s="17" t="n">
        <v>7017.77</v>
      </c>
      <c r="E31" s="22" t="n">
        <v>29.9</v>
      </c>
      <c r="F31" s="20" t="n">
        <v>0.125</v>
      </c>
      <c r="G31" s="21" t="n">
        <v>3.9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6"/>
  </cols>
  <sheetData>
    <row r="1" customFormat="false" ht="16.15" hidden="false" customHeight="false" outlineLevel="0" collapsed="false">
      <c r="A1" s="13" t="s">
        <v>132</v>
      </c>
    </row>
    <row r="2" customFormat="false" ht="15" hidden="false" customHeight="false" outlineLevel="0" collapsed="false">
      <c r="A2" s="14" t="s">
        <v>133</v>
      </c>
    </row>
    <row r="3" customFormat="false" ht="15" hidden="false" customHeight="false" outlineLevel="0" collapsed="false">
      <c r="A3" s="12" t="s">
        <v>15</v>
      </c>
    </row>
    <row r="4" customFormat="false" ht="31.5" hidden="false" customHeight="true" outlineLevel="0" collapsed="false">
      <c r="A4" s="15" t="s">
        <v>134</v>
      </c>
      <c r="B4" s="15" t="s">
        <v>135</v>
      </c>
      <c r="C4" s="15" t="s">
        <v>136</v>
      </c>
      <c r="D4" s="15" t="s">
        <v>137</v>
      </c>
    </row>
    <row r="5" customFormat="false" ht="15" hidden="false" customHeight="false" outlineLevel="0" collapsed="false">
      <c r="A5" s="16" t="s">
        <v>138</v>
      </c>
      <c r="B5" s="17" t="n">
        <v>90307</v>
      </c>
      <c r="C5" s="18" t="n">
        <v>137.91</v>
      </c>
      <c r="D5" s="23" t="n">
        <f aca="false">B5/SUM($B$5:$B$7)</f>
        <v>0.970041677408267</v>
      </c>
    </row>
    <row r="6" customFormat="false" ht="15" hidden="false" customHeight="false" outlineLevel="0" collapsed="false">
      <c r="A6" s="16" t="s">
        <v>139</v>
      </c>
      <c r="B6" s="17" t="n">
        <v>2562</v>
      </c>
      <c r="C6" s="18" t="n">
        <v>245.25</v>
      </c>
      <c r="D6" s="23" t="n">
        <f aca="false">B6/SUM($B$5:$B$7)</f>
        <v>0.0275199793761279</v>
      </c>
    </row>
    <row r="7" customFormat="false" ht="15" hidden="false" customHeight="false" outlineLevel="0" collapsed="false">
      <c r="A7" s="16" t="s">
        <v>140</v>
      </c>
      <c r="B7" s="17" t="n">
        <v>227</v>
      </c>
      <c r="C7" s="18" t="n">
        <v>427.44</v>
      </c>
      <c r="D7" s="23" t="n">
        <f aca="false">B7/SUM($B$5:$B$7)</f>
        <v>0.0024383432156054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13" t="s">
        <v>141</v>
      </c>
    </row>
    <row r="2" customFormat="false" ht="15" hidden="false" customHeight="false" outlineLevel="0" collapsed="false">
      <c r="A2" s="14" t="s">
        <v>142</v>
      </c>
    </row>
    <row r="3" customFormat="false" ht="15" hidden="false" customHeight="false" outlineLevel="0" collapsed="false">
      <c r="A3" s="12" t="s">
        <v>15</v>
      </c>
    </row>
    <row r="4" customFormat="false" ht="31.5" hidden="false" customHeight="true" outlineLevel="0" collapsed="false">
      <c r="A4" s="15" t="s">
        <v>143</v>
      </c>
      <c r="B4" s="15" t="s">
        <v>144</v>
      </c>
    </row>
    <row r="5" customFormat="false" ht="15" hidden="false" customHeight="false" outlineLevel="0" collapsed="false">
      <c r="A5" s="16" t="s">
        <v>145</v>
      </c>
      <c r="B5" s="17" t="n">
        <v>99441</v>
      </c>
    </row>
    <row r="6" customFormat="false" ht="15" hidden="false" customHeight="false" outlineLevel="0" collapsed="false">
      <c r="A6" s="16" t="s">
        <v>146</v>
      </c>
      <c r="B6" s="17" t="n">
        <v>775</v>
      </c>
    </row>
    <row r="7" customFormat="false" ht="15" hidden="false" customHeight="false" outlineLevel="0" collapsed="false">
      <c r="A7" s="16" t="s">
        <v>147</v>
      </c>
      <c r="B7" s="17" t="n">
        <v>8</v>
      </c>
    </row>
    <row r="8" customFormat="false" ht="15" hidden="false" customHeight="false" outlineLevel="0" collapsed="false">
      <c r="A8" s="16" t="s">
        <v>148</v>
      </c>
      <c r="B8" s="17" t="n">
        <v>189</v>
      </c>
    </row>
    <row r="9" customFormat="false" ht="15" hidden="false" customHeight="false" outlineLevel="0" collapsed="false">
      <c r="A9" s="16" t="s">
        <v>149</v>
      </c>
      <c r="B9" s="17" t="n">
        <v>555</v>
      </c>
    </row>
    <row r="10" customFormat="false" ht="15" hidden="false" customHeight="false" outlineLevel="0" collapsed="false">
      <c r="A10" s="16" t="s">
        <v>150</v>
      </c>
      <c r="B10" s="17" t="n">
        <v>610</v>
      </c>
    </row>
    <row r="11" customFormat="false" ht="15" hidden="false" customHeight="false" outlineLevel="0" collapsed="false">
      <c r="A11" s="16" t="s">
        <v>151</v>
      </c>
      <c r="B11" s="17" t="n">
        <v>99441</v>
      </c>
    </row>
    <row r="12" customFormat="false" ht="15" hidden="false" customHeight="false" outlineLevel="0" collapsed="false">
      <c r="A12" s="16" t="s">
        <v>152</v>
      </c>
      <c r="B12" s="17" t="n">
        <v>96096</v>
      </c>
    </row>
    <row r="13" customFormat="false" ht="15" hidden="false" customHeight="false" outlineLevel="0" collapsed="false">
      <c r="A13" s="16" t="s">
        <v>153</v>
      </c>
      <c r="B13" s="17" t="n">
        <v>96203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2026-10-25T20:29:25Z</dcterms:created>
  <dc:creator>openpyxl</dc:creator>
  <dc:description/>
  <dc:language>en-US</dc:language>
  <cp:lastModifiedBy/>
  <dcterms:modified xsi:type="dcterms:W3CDTF">2026-10-25T14:29:27Z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